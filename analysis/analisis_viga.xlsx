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ownloads\"/>
    </mc:Choice>
  </mc:AlternateContent>
  <xr:revisionPtr revIDLastSave="0" documentId="8_{6D5D0CF2-BBE5-4349-8D4B-3E99A82313E9}" xr6:coauthVersionLast="47" xr6:coauthVersionMax="47" xr10:uidLastSave="{00000000-0000-0000-0000-000000000000}"/>
  <bookViews>
    <workbookView xWindow="28680" yWindow="7245" windowWidth="29040" windowHeight="15840" xr2:uid="{38FA4B1C-8D19-4B11-9C4C-79A1861D64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6" i="1"/>
  <c r="E17" i="1"/>
  <c r="E18" i="1"/>
  <c r="E19" i="1"/>
  <c r="E11" i="1"/>
  <c r="H12" i="1"/>
  <c r="H13" i="1"/>
  <c r="H14" i="1"/>
  <c r="H15" i="1"/>
  <c r="H16" i="1"/>
  <c r="H17" i="1"/>
  <c r="H18" i="1"/>
  <c r="H19" i="1"/>
  <c r="H11" i="1"/>
  <c r="J6" i="1"/>
</calcChain>
</file>

<file path=xl/sharedStrings.xml><?xml version="1.0" encoding="utf-8"?>
<sst xmlns="http://schemas.openxmlformats.org/spreadsheetml/2006/main" count="24" uniqueCount="21">
  <si>
    <t>formula inercia</t>
  </si>
  <si>
    <t>datos</t>
  </si>
  <si>
    <t>L</t>
  </si>
  <si>
    <t>m</t>
  </si>
  <si>
    <t>Luz entre apoyos</t>
  </si>
  <si>
    <t>b</t>
  </si>
  <si>
    <t>Ancho de la sección rectangular</t>
  </si>
  <si>
    <t>h</t>
  </si>
  <si>
    <t>Altura de la sección rectangular</t>
  </si>
  <si>
    <t>E</t>
  </si>
  <si>
    <t>GPa</t>
  </si>
  <si>
    <t>Módulo de elasticidad para el ejercicio</t>
  </si>
  <si>
    <t>Inercia</t>
  </si>
  <si>
    <t>m^4</t>
  </si>
  <si>
    <t>formula delta_teo</t>
  </si>
  <si>
    <t>(b*h^3)/12</t>
  </si>
  <si>
    <t>(P*L^3)/(48*E*I)</t>
  </si>
  <si>
    <t>deflexion real [mm]</t>
  </si>
  <si>
    <t>carga (P) [kN]</t>
  </si>
  <si>
    <t>deflexion real [m]</t>
  </si>
  <si>
    <t>deflexion teo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</si>
</sst>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666666"/>
      <name val="Calibri"/>
    </font>
    <font>
      <sz val="11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Hoja1!$E$10</c:f>
              <c:strCache>
                <c:ptCount val="1"/>
                <c:pt idx="0">
                  <c:v>deflexion real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Hoja1!$C$11:$C$19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Hoja1!$E$11:$E$19</c:f>
              <c:numCache>
                <c:formatCode>General</c:formatCode>
                <c:ptCount val="9"/>
                <c:pt idx="0">
                  <c:v>0</c:v>
                </c:pt>
                <c:pt idx="1">
                  <c:v>260</c:v>
                </c:pt>
                <c:pt idx="2">
                  <c:v>500</c:v>
                </c:pt>
                <c:pt idx="3">
                  <c:v>760</c:v>
                </c:pt>
                <c:pt idx="4">
                  <c:v>1010</c:v>
                </c:pt>
                <c:pt idx="5">
                  <c:v>1280</c:v>
                </c:pt>
                <c:pt idx="6">
                  <c:v>1540</c:v>
                </c:pt>
                <c:pt idx="7">
                  <c:v>1770</c:v>
                </c:pt>
                <c:pt idx="8">
                  <c:v>2050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0E-4CA6-B020-39366B4050E9}"/>
            </c:ext>
          </c:extLst>
        </c:ser>
        <c:ser>
          <c:idx val="1"/>
          <c:order val="1"/>
          <c:tx>
            <c:strRef>
              <c:f>Hoja1!$H$10</c:f>
              <c:strCache>
                <c:ptCount val="1"/>
                <c:pt idx="0">
                  <c:v>deflexion teo [m]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Hoja1!$C$11:$C$19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Hoja1!$H$11:$H$19</c:f>
              <c:numCache>
                <c:formatCode>General</c:formatCode>
                <c:ptCount val="9"/>
                <c:pt idx="0">
                  <c:v>0</c:v>
                </c:pt>
                <c:pt idx="1">
                  <c:v>249.99999999999994</c:v>
                </c:pt>
                <c:pt idx="2">
                  <c:v>499.99999999999989</c:v>
                </c:pt>
                <c:pt idx="3">
                  <c:v>749.99999999999989</c:v>
                </c:pt>
                <c:pt idx="4">
                  <c:v>999.99999999999977</c:v>
                </c:pt>
                <c:pt idx="5">
                  <c:v>1249.9999999999998</c:v>
                </c:pt>
                <c:pt idx="6">
                  <c:v>1499.9999999999998</c:v>
                </c:pt>
                <c:pt idx="7">
                  <c:v>1749.9999999999998</c:v>
                </c:pt>
                <c:pt idx="8">
                  <c:v>1999.9999999999995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0E-4CA6-B020-39366B405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69872"/>
        <c:axId val="455451232"/>
      </c:scatterChart>
      <c:valAx>
        <c:axId val="25106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5451232"/>
        <c:crosses val="autoZero"/>
        <c:crossBetween val="midCat"/>
      </c:valAx>
      <c:valAx>
        <c:axId val="45545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106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581024</xdr:colOff>
      <xdr:row>5</xdr:row>
      <xdr:rowOff>100011</xdr:rowOff>
    </xdr:from>
    <xdr:to>
      <xdr:col>19</xdr:col>
      <xdr:colOff>247650</xdr:colOff>
      <xdr:row>11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3501A1-32E3-9BFA-9DD2-E5F0601BA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0CC1-1D93-49AB-ACA7-ED1EA9D1F8EE}">
  <dimension ref="B2:K19"/>
  <sheetViews>
    <sheetView tabSelected="1" topLeftCell="C1" workbookViewId="0">
      <selection activeCell="P24" sqref="P24"/>
    </sheetView>
  </sheetViews>
  <sheetFormatPr baseColWidth="10" defaultRowHeight="15" x14ac:dyDescent="0.25"/>
  <cols>
    <col min="3" max="3" width="12.5703125" customWidth="1"/>
    <col min="4" max="4" width="18.42578125" customWidth="1"/>
    <col min="6" max="6" width="11" bestFit="1" customWidth="1"/>
  </cols>
  <sheetData>
    <row r="2" spans="2:11" ht="30" x14ac:dyDescent="0.25">
      <c r="B2" s="1" t="s">
        <v>0</v>
      </c>
      <c r="C2" s="1" t="s">
        <v>15</v>
      </c>
      <c r="E2" s="1" t="s">
        <v>14</v>
      </c>
      <c r="F2" s="1" t="s">
        <v>16</v>
      </c>
    </row>
    <row r="4" spans="2:11" ht="30" x14ac:dyDescent="0.25">
      <c r="B4" t="s">
        <v>1</v>
      </c>
      <c r="C4" s="2" t="s">
        <v>2</v>
      </c>
      <c r="D4" s="3">
        <v>4</v>
      </c>
      <c r="E4" s="2" t="s">
        <v>3</v>
      </c>
      <c r="F4" s="2" t="s">
        <v>4</v>
      </c>
    </row>
    <row r="5" spans="2:11" ht="45" x14ac:dyDescent="0.25">
      <c r="C5" s="2" t="s">
        <v>5</v>
      </c>
      <c r="D5" s="3">
        <v>0.2</v>
      </c>
      <c r="E5" s="2" t="s">
        <v>3</v>
      </c>
      <c r="F5" s="2" t="s">
        <v>6</v>
      </c>
    </row>
    <row r="6" spans="2:11" ht="45" x14ac:dyDescent="0.25">
      <c r="C6" s="2" t="s">
        <v>7</v>
      </c>
      <c r="D6" s="3">
        <v>0.4</v>
      </c>
      <c r="E6" s="2" t="s">
        <v>3</v>
      </c>
      <c r="F6" s="2" t="s">
        <v>8</v>
      </c>
      <c r="I6" t="s">
        <v>12</v>
      </c>
      <c r="J6" s="4">
        <f>+(D5*D6^3)/12</f>
        <v>1.0666666666666669E-3</v>
      </c>
      <c r="K6" s="2" t="s">
        <v>13</v>
      </c>
    </row>
    <row r="7" spans="2:11" ht="60" x14ac:dyDescent="0.25">
      <c r="C7" s="2" t="s">
        <v>9</v>
      </c>
      <c r="D7" s="3">
        <v>25</v>
      </c>
      <c r="E7" s="2" t="s">
        <v>10</v>
      </c>
      <c r="F7" s="2" t="s">
        <v>11</v>
      </c>
    </row>
    <row r="10" spans="2:11" ht="30" x14ac:dyDescent="0.25">
      <c r="B10" s="6" t="s">
        <v>1</v>
      </c>
      <c r="C10" s="7" t="s">
        <v>18</v>
      </c>
      <c r="D10" t="s">
        <v>17</v>
      </c>
      <c r="E10" s="6" t="s">
        <v>19</v>
      </c>
      <c r="H10" t="s">
        <v>20</v>
      </c>
    </row>
    <row r="11" spans="2:11" x14ac:dyDescent="0.25">
      <c r="B11" s="6"/>
      <c r="C11" s="7">
        <v>0</v>
      </c>
      <c r="D11">
        <v>0</v>
      </c>
      <c r="E11">
        <f>1000*D11</f>
        <v>0</v>
      </c>
      <c r="H11" s="5">
        <f>+(C11*$D$4^3)/(48*$D$7*$J$6)</f>
        <v>0</v>
      </c>
    </row>
    <row r="12" spans="2:11" x14ac:dyDescent="0.25">
      <c r="B12" s="6"/>
      <c r="C12" s="7">
        <v>5</v>
      </c>
      <c r="D12">
        <v>0.26</v>
      </c>
      <c r="E12" s="6">
        <f t="shared" ref="E12:E19" si="0">1000*D12</f>
        <v>260</v>
      </c>
      <c r="H12" s="5">
        <f>+(C12*$D$4^3)/(48*$D$7*$J$6)</f>
        <v>249.99999999999994</v>
      </c>
    </row>
    <row r="13" spans="2:11" x14ac:dyDescent="0.25">
      <c r="B13" s="6"/>
      <c r="C13" s="7">
        <v>10</v>
      </c>
      <c r="D13">
        <v>0.5</v>
      </c>
      <c r="E13" s="6">
        <f t="shared" si="0"/>
        <v>500</v>
      </c>
      <c r="H13" s="5">
        <f>+(C13*$D$4^3)/(48*$D$7*$J$6)</f>
        <v>499.99999999999989</v>
      </c>
    </row>
    <row r="14" spans="2:11" x14ac:dyDescent="0.25">
      <c r="B14" s="6"/>
      <c r="C14" s="7">
        <v>15</v>
      </c>
      <c r="D14">
        <v>0.76</v>
      </c>
      <c r="E14" s="6">
        <f t="shared" si="0"/>
        <v>760</v>
      </c>
      <c r="H14" s="5">
        <f>+(C14*$D$4^3)/(48*$D$7*$J$6)</f>
        <v>749.99999999999989</v>
      </c>
    </row>
    <row r="15" spans="2:11" x14ac:dyDescent="0.25">
      <c r="B15" s="6"/>
      <c r="C15" s="7">
        <v>20</v>
      </c>
      <c r="D15">
        <v>1.01</v>
      </c>
      <c r="E15" s="6">
        <f t="shared" si="0"/>
        <v>1010</v>
      </c>
      <c r="H15" s="5">
        <f>+(C15*$D$4^3)/(48*$D$7*$J$6)</f>
        <v>999.99999999999977</v>
      </c>
    </row>
    <row r="16" spans="2:11" x14ac:dyDescent="0.25">
      <c r="B16" s="6"/>
      <c r="C16" s="7">
        <v>25</v>
      </c>
      <c r="D16">
        <v>1.28</v>
      </c>
      <c r="E16" s="6">
        <f t="shared" si="0"/>
        <v>1280</v>
      </c>
      <c r="H16" s="5">
        <f>+(C16*$D$4^3)/(48*$D$7*$J$6)</f>
        <v>1249.9999999999998</v>
      </c>
    </row>
    <row r="17" spans="2:8" x14ac:dyDescent="0.25">
      <c r="B17" s="6"/>
      <c r="C17" s="7">
        <v>30</v>
      </c>
      <c r="D17">
        <v>1.54</v>
      </c>
      <c r="E17" s="6">
        <f t="shared" si="0"/>
        <v>1540</v>
      </c>
      <c r="H17" s="5">
        <f>+(C17*$D$4^3)/(48*$D$7*$J$6)</f>
        <v>1499.9999999999998</v>
      </c>
    </row>
    <row r="18" spans="2:8" x14ac:dyDescent="0.25">
      <c r="B18" s="6"/>
      <c r="C18" s="7">
        <v>35</v>
      </c>
      <c r="D18">
        <v>1.77</v>
      </c>
      <c r="E18" s="6">
        <f t="shared" si="0"/>
        <v>1770</v>
      </c>
      <c r="H18" s="5">
        <f>+(C18*$D$4^3)/(48*$D$7*$J$6)</f>
        <v>1749.9999999999998</v>
      </c>
    </row>
    <row r="19" spans="2:8" x14ac:dyDescent="0.25">
      <c r="B19" s="6"/>
      <c r="C19" s="7">
        <v>40</v>
      </c>
      <c r="D19">
        <v>2.0499999999999998</v>
      </c>
      <c r="E19" s="6">
        <f t="shared" si="0"/>
        <v>2050</v>
      </c>
      <c r="H19" s="5">
        <f>+(C19*$D$4^3)/(48*$D$7*$J$6)</f>
        <v>1999.9999999999995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roman arriagada</dc:creator>
  <cp:lastModifiedBy>agustin roman arriagada</cp:lastModifiedBy>
  <dcterms:created xsi:type="dcterms:W3CDTF">2026-10-05T19:32:43Z</dcterms:created>
  <dcterms:modified xsi:type="dcterms:W3CDTF">2026-10-05T22:03:18Z</dcterms:modified>
</cp:coreProperties>
</file>